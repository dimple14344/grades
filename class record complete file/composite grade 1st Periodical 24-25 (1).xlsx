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User\Desktop\SY 24-25 GRADES\"/>
    </mc:Choice>
  </mc:AlternateContent>
  <xr:revisionPtr revIDLastSave="0" documentId="13_ncr:1_{17CBF021-3559-49FA-9A48-7B0DAE08CE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TRANSMUTATION_TABLE">'[1]DO NOT DELETE'!$G$2:$J$42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2" i="1" l="1"/>
  <c r="O42" i="1" s="1"/>
  <c r="M43" i="1"/>
  <c r="O43" i="1" s="1"/>
  <c r="M28" i="1" l="1"/>
  <c r="O28" i="1" s="1"/>
  <c r="M18" i="1"/>
  <c r="O18" i="1" s="1"/>
  <c r="M19" i="1"/>
  <c r="O19" i="1" s="1"/>
  <c r="M20" i="1"/>
  <c r="O20" i="1" s="1"/>
  <c r="M21" i="1"/>
  <c r="O21" i="1" s="1"/>
  <c r="M22" i="1"/>
  <c r="O22" i="1" s="1"/>
  <c r="M23" i="1"/>
  <c r="O23" i="1" s="1"/>
  <c r="M24" i="1"/>
  <c r="O24" i="1" s="1"/>
  <c r="M41" i="1"/>
  <c r="O41" i="1" s="1"/>
  <c r="M40" i="1"/>
  <c r="O40" i="1" s="1"/>
  <c r="M39" i="1"/>
  <c r="O39" i="1" s="1"/>
  <c r="M38" i="1"/>
  <c r="O38" i="1" s="1"/>
  <c r="M37" i="1"/>
  <c r="O37" i="1" s="1"/>
  <c r="M36" i="1"/>
  <c r="O36" i="1" s="1"/>
  <c r="M35" i="1"/>
  <c r="O35" i="1" s="1"/>
  <c r="M34" i="1"/>
  <c r="O34" i="1" s="1"/>
  <c r="M33" i="1"/>
  <c r="O33" i="1" s="1"/>
  <c r="M32" i="1"/>
  <c r="O32" i="1" s="1"/>
  <c r="M31" i="1"/>
  <c r="O31" i="1" s="1"/>
  <c r="O30" i="1"/>
  <c r="M27" i="1"/>
  <c r="O27" i="1" s="1"/>
  <c r="M26" i="1"/>
  <c r="O26" i="1" s="1"/>
  <c r="A26" i="1"/>
  <c r="A27" i="1" s="1"/>
  <c r="A32" i="1" s="1"/>
  <c r="A33" i="1" s="1"/>
  <c r="A34" i="1" s="1"/>
  <c r="A35" i="1" s="1"/>
  <c r="A36" i="1" s="1"/>
  <c r="M25" i="1"/>
  <c r="O25" i="1" s="1"/>
  <c r="M17" i="1"/>
  <c r="O17" i="1" s="1"/>
  <c r="M16" i="1"/>
  <c r="O16" i="1" s="1"/>
  <c r="M15" i="1"/>
  <c r="O15" i="1" s="1"/>
  <c r="M14" i="1"/>
  <c r="O14" i="1" s="1"/>
  <c r="M13" i="1"/>
  <c r="O13" i="1" s="1"/>
  <c r="M12" i="1"/>
  <c r="O12" i="1" s="1"/>
  <c r="M11" i="1"/>
  <c r="O11" i="1" s="1"/>
  <c r="A11" i="1"/>
  <c r="A12" i="1" s="1"/>
  <c r="A13" i="1" s="1"/>
  <c r="A14" i="1" s="1"/>
  <c r="A15" i="1" s="1"/>
  <c r="A16" i="1" s="1"/>
  <c r="M10" i="1"/>
  <c r="O10" i="1" s="1"/>
</calcChain>
</file>

<file path=xl/sharedStrings.xml><?xml version="1.0" encoding="utf-8"?>
<sst xmlns="http://schemas.openxmlformats.org/spreadsheetml/2006/main" count="68" uniqueCount="67">
  <si>
    <t>Toril UCCP Learning Center Inc.</t>
  </si>
  <si>
    <t>First Periodical</t>
  </si>
  <si>
    <t>Composite Sheet</t>
  </si>
  <si>
    <t>Grade4-NOAH</t>
  </si>
  <si>
    <t>Name of Pupils</t>
  </si>
  <si>
    <t>FILIPINO</t>
  </si>
  <si>
    <t>ENGLISH</t>
  </si>
  <si>
    <t>MATH</t>
  </si>
  <si>
    <t>SCIENCE</t>
  </si>
  <si>
    <t>ARALPAN</t>
  </si>
  <si>
    <t>EPP</t>
  </si>
  <si>
    <t>MAPEH</t>
  </si>
  <si>
    <t>CED</t>
  </si>
  <si>
    <t>TOTAL</t>
  </si>
  <si>
    <t>RANK</t>
  </si>
  <si>
    <t>MUSIC</t>
  </si>
  <si>
    <t>ARTS</t>
  </si>
  <si>
    <t>P.E</t>
  </si>
  <si>
    <t>HEALTH</t>
  </si>
  <si>
    <t>Prepared By:</t>
  </si>
  <si>
    <t>Princes Dyan T. Erediano</t>
  </si>
  <si>
    <t xml:space="preserve">FEMALE </t>
  </si>
  <si>
    <t>FEMALE</t>
  </si>
  <si>
    <t>MALE</t>
  </si>
  <si>
    <t>Antocan, Jilian Jay D.</t>
  </si>
  <si>
    <t>Babao, Kedric Rayco -</t>
  </si>
  <si>
    <t>Bacat, Vincent Rylee T.</t>
  </si>
  <si>
    <t>Beduya, Rob Ezekiel S.</t>
  </si>
  <si>
    <t>Cabalhin, Calix Shane T.</t>
  </si>
  <si>
    <t>Dublas, John Micquel L.</t>
  </si>
  <si>
    <t>Esmero, Harris Sebastian D.</t>
  </si>
  <si>
    <t>Iñigo, Lance Andre B.</t>
  </si>
  <si>
    <t>Labio, Kurt Theodore A.</t>
  </si>
  <si>
    <t>Luma, Nathan Josh A.</t>
  </si>
  <si>
    <t>Manuel, Patrick Neil H.</t>
  </si>
  <si>
    <t>Martinez, Liam Gabriel Andrie D.</t>
  </si>
  <si>
    <t>Pandian, Marjohn C.</t>
  </si>
  <si>
    <t>Pilay, Stephano Gabriel D.</t>
  </si>
  <si>
    <t>Recamara, Keanne Jenard E.</t>
  </si>
  <si>
    <t>Ruelo, Chris Gi O.</t>
  </si>
  <si>
    <t>Tamon, Aljazeera N.</t>
  </si>
  <si>
    <t>Villota, Justine Enrique A.</t>
  </si>
  <si>
    <t>Yosores, Marco Xian Z.</t>
  </si>
  <si>
    <t>Amil, Audrey Chivas M.</t>
  </si>
  <si>
    <t>Aslim, Andrea Hope A.</t>
  </si>
  <si>
    <t>Bolibol, Savannah Chaise</t>
  </si>
  <si>
    <t>Franks, Jasmine Mia C.</t>
  </si>
  <si>
    <t>Gonzalez, Marga Olivia D.</t>
  </si>
  <si>
    <t>Hajihil, Suffia S.</t>
  </si>
  <si>
    <t>Icao, Tyreene Hermione P.</t>
  </si>
  <si>
    <t>Lopecillo, Johnna Myca S.</t>
  </si>
  <si>
    <t>Mantes, Zaafira Chloe C.</t>
  </si>
  <si>
    <t>Ong, Ruszieah Lynah C.</t>
  </si>
  <si>
    <t>Palacio, Maria Ysellah M.</t>
  </si>
  <si>
    <t>Raganas, Ivanna Rose Q.</t>
  </si>
  <si>
    <t>Tan, Jonnah Coleen A.</t>
  </si>
  <si>
    <t>Vidal, Cataleya Athena L.</t>
  </si>
  <si>
    <t xml:space="preserve">1st </t>
  </si>
  <si>
    <t xml:space="preserve">2nd </t>
  </si>
  <si>
    <t>3rd</t>
  </si>
  <si>
    <t xml:space="preserve">4th </t>
  </si>
  <si>
    <t xml:space="preserve">5th </t>
  </si>
  <si>
    <t xml:space="preserve">6th </t>
  </si>
  <si>
    <t xml:space="preserve">7th </t>
  </si>
  <si>
    <t xml:space="preserve">8th </t>
  </si>
  <si>
    <t xml:space="preserve">9th </t>
  </si>
  <si>
    <t xml:space="preserve">10th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</si>
</sst>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;;"/>
    <numFmt numFmtId="166" formatCode="0.000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6"/>
      <color theme="1"/>
      <name val="Arial Black"/>
      <family val="2"/>
    </font>
    <font>
      <sz val="14"/>
      <color rgb="FF0070C0"/>
      <name val="Arial Black"/>
      <family val="2"/>
    </font>
    <font>
      <sz val="14"/>
      <color rgb="FFFF0000"/>
      <name val="Arial Black"/>
      <family val="2"/>
    </font>
    <font>
      <sz val="18"/>
      <color theme="1"/>
      <name val="Arial Black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11"/>
      <name val="SansSerif"/>
      <charset val="134"/>
    </font>
    <font>
      <b/>
      <sz val="11"/>
      <color theme="8" tint="-0.249977111117893"/>
      <name val="Arial"/>
      <family val="2"/>
    </font>
    <font>
      <sz val="10"/>
      <color theme="1"/>
      <name val="Arial Black"/>
      <family val="2"/>
    </font>
    <font>
      <sz val="14"/>
      <color theme="1"/>
      <name val="Arial Black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rgb="FF000000"/>
      </right>
      <top style="thin">
        <color auto="1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rgb="FF000000"/>
      </right>
      <top/>
      <bottom/>
      <diagonal/>
    </border>
  </borders>
  <cellStyleXfs count="9">
    <xf numFmtId="0" fontId="0" fillId="0" borderId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</cellStyleXfs>
  <cellXfs count="5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1" xfId="0" applyFont="1" applyBorder="1"/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2" xfId="0" applyFont="1" applyBorder="1"/>
    <xf numFmtId="1" fontId="7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left"/>
      <protection hidden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165" fontId="8" fillId="0" borderId="6" xfId="0" applyNumberFormat="1" applyFont="1" applyBorder="1" applyAlignment="1" applyProtection="1">
      <alignment horizontal="left"/>
      <protection hidden="1"/>
    </xf>
    <xf numFmtId="165" fontId="7" fillId="0" borderId="7" xfId="0" applyNumberFormat="1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>
      <alignment horizontal="center"/>
    </xf>
    <xf numFmtId="165" fontId="8" fillId="0" borderId="0" xfId="0" applyNumberFormat="1" applyFont="1" applyAlignment="1" applyProtection="1">
      <alignment horizontal="left"/>
      <protection hidden="1"/>
    </xf>
    <xf numFmtId="165" fontId="11" fillId="0" borderId="0" xfId="0" applyNumberFormat="1" applyFont="1" applyAlignment="1" applyProtection="1">
      <alignment horizontal="left" vertical="center" wrapText="1"/>
      <protection locked="0"/>
    </xf>
    <xf numFmtId="0" fontId="7" fillId="3" borderId="0" xfId="0" applyFont="1" applyFill="1" applyAlignment="1" applyProtection="1">
      <alignment horizontal="left" vertical="center" shrinkToFit="1"/>
      <protection locked="0"/>
    </xf>
    <xf numFmtId="0" fontId="6" fillId="0" borderId="0" xfId="0" applyFont="1"/>
    <xf numFmtId="0" fontId="12" fillId="4" borderId="2" xfId="0" applyFont="1" applyFill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/>
    </xf>
    <xf numFmtId="166" fontId="6" fillId="0" borderId="2" xfId="0" applyNumberFormat="1" applyFont="1" applyBorder="1"/>
    <xf numFmtId="0" fontId="1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5" fillId="0" borderId="0" xfId="0" applyFont="1"/>
    <xf numFmtId="1" fontId="9" fillId="0" borderId="9" xfId="0" applyNumberFormat="1" applyFont="1" applyBorder="1" applyAlignment="1" applyProtection="1">
      <alignment horizontal="center"/>
      <protection hidden="1"/>
    </xf>
    <xf numFmtId="1" fontId="9" fillId="0" borderId="10" xfId="0" applyNumberFormat="1" applyFont="1" applyBorder="1" applyAlignment="1" applyProtection="1">
      <alignment horizontal="center"/>
      <protection hidden="1"/>
    </xf>
    <xf numFmtId="1" fontId="7" fillId="0" borderId="11" xfId="0" applyNumberFormat="1" applyFont="1" applyBorder="1" applyAlignment="1" applyProtection="1">
      <alignment horizontal="center"/>
      <protection hidden="1"/>
    </xf>
    <xf numFmtId="1" fontId="9" fillId="0" borderId="12" xfId="0" applyNumberFormat="1" applyFont="1" applyBorder="1" applyAlignment="1" applyProtection="1">
      <alignment horizontal="center"/>
      <protection hidden="1"/>
    </xf>
    <xf numFmtId="1" fontId="9" fillId="0" borderId="2" xfId="0" applyNumberFormat="1" applyFont="1" applyBorder="1" applyAlignment="1" applyProtection="1">
      <alignment horizontal="center"/>
      <protection hidden="1"/>
    </xf>
    <xf numFmtId="165" fontId="7" fillId="0" borderId="2" xfId="0" applyNumberFormat="1" applyFont="1" applyBorder="1" applyAlignment="1" applyProtection="1">
      <alignment horizontal="center" vertical="center" wrapText="1"/>
      <protection locked="0"/>
    </xf>
    <xf numFmtId="1" fontId="7" fillId="0" borderId="2" xfId="0" applyNumberFormat="1" applyFont="1" applyBorder="1" applyAlignment="1" applyProtection="1">
      <alignment horizontal="center"/>
      <protection hidden="1"/>
    </xf>
    <xf numFmtId="0" fontId="17" fillId="0" borderId="0" xfId="0" applyFont="1" applyAlignment="1">
      <alignment horizontal="right"/>
    </xf>
    <xf numFmtId="1" fontId="18" fillId="2" borderId="4" xfId="0" applyNumberFormat="1" applyFont="1" applyFill="1" applyBorder="1" applyAlignment="1" applyProtection="1">
      <alignment horizontal="center"/>
      <protection hidden="1"/>
    </xf>
    <xf numFmtId="1" fontId="19" fillId="2" borderId="4" xfId="0" applyNumberFormat="1" applyFont="1" applyFill="1" applyBorder="1" applyAlignment="1" applyProtection="1">
      <alignment horizontal="center"/>
      <protection hidden="1"/>
    </xf>
    <xf numFmtId="165" fontId="20" fillId="0" borderId="5" xfId="0" applyNumberFormat="1" applyFont="1" applyBorder="1" applyAlignment="1" applyProtection="1">
      <alignment horizontal="left"/>
      <protection hidden="1"/>
    </xf>
    <xf numFmtId="165" fontId="20" fillId="0" borderId="6" xfId="0" applyNumberFormat="1" applyFont="1" applyBorder="1" applyAlignment="1" applyProtection="1">
      <alignment horizontal="left"/>
      <protection hidden="1"/>
    </xf>
    <xf numFmtId="0" fontId="21" fillId="0" borderId="2" xfId="0" applyFont="1" applyBorder="1"/>
    <xf numFmtId="166" fontId="6" fillId="5" borderId="2" xfId="0" applyNumberFormat="1" applyFont="1" applyFill="1" applyBorder="1"/>
    <xf numFmtId="1" fontId="7" fillId="6" borderId="4" xfId="0" applyNumberFormat="1" applyFont="1" applyFill="1" applyBorder="1" applyAlignment="1" applyProtection="1">
      <alignment horizontal="center"/>
      <protection hidden="1"/>
    </xf>
    <xf numFmtId="0" fontId="6" fillId="6" borderId="2" xfId="0" applyFont="1" applyFill="1" applyBorder="1" applyAlignment="1">
      <alignment horizontal="center"/>
    </xf>
    <xf numFmtId="1" fontId="7" fillId="6" borderId="2" xfId="0" applyNumberFormat="1" applyFont="1" applyFill="1" applyBorder="1" applyAlignment="1" applyProtection="1">
      <alignment horizontal="center"/>
      <protection hidden="1"/>
    </xf>
    <xf numFmtId="0" fontId="6" fillId="7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2" fillId="4" borderId="1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</cellXfs>
  <cellStyles count="9">
    <cellStyle name="Comma 2" xfId="1" xr:uid="{00000000-0005-0000-0000-000031000000}"/>
    <cellStyle name="Comma 3" xfId="2" xr:uid="{00000000-0005-0000-0000-000032000000}"/>
    <cellStyle name="Normal" xfId="0" builtinId="0"/>
    <cellStyle name="Normal 16" xfId="3" xr:uid="{00000000-0005-0000-0000-000033000000}"/>
    <cellStyle name="Normal 16 2" xfId="4" xr:uid="{00000000-0005-0000-0000-000034000000}"/>
    <cellStyle name="Normal 2" xfId="5" xr:uid="{00000000-0005-0000-0000-000035000000}"/>
    <cellStyle name="Normal 2 2" xfId="6" xr:uid="{00000000-0005-0000-0000-000036000000}"/>
    <cellStyle name="Normal 3" xfId="7" xr:uid="{00000000-0005-0000-0000-000037000000}"/>
    <cellStyle name="Normal 4" xfId="8" xr:uid="{00000000-0005-0000-0000-00003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258536</xdr:colOff>
      <xdr:row>0</xdr:row>
      <xdr:rowOff>176894</xdr:rowOff>
    </xdr:from>
    <xdr:to>
      <xdr:col>4</xdr:col>
      <xdr:colOff>272143</xdr:colOff>
      <xdr:row>3</xdr:row>
      <xdr:rowOff>1</xdr:rowOff>
    </xdr:to>
    <xdr:pic>
      <xdr:nvPicPr>
        <xdr:cNvPr id="2" name="Picture 1" descr="UCCP Logo correcte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175125" y="176530"/>
          <a:ext cx="737235" cy="5930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GRADES%202022-2023/SY%2023-24%20GRADES/GRADE%204_MAPE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DATA"/>
      <sheetName val="MUSIC _Q1"/>
      <sheetName val="ARTS_Q1"/>
      <sheetName val="PE_Q1"/>
      <sheetName val="HEALTH _Q1"/>
      <sheetName val="SUMMARY OF QUARTERLY GRADES"/>
      <sheetName val="DO NOT DELETE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87"/>
  <sheetViews>
    <sheetView tabSelected="1" topLeftCell="A11" zoomScale="80" zoomScaleNormal="80" workbookViewId="0">
      <selection activeCell="K44" sqref="K44"/>
    </sheetView>
  </sheetViews>
  <sheetFormatPr defaultColWidth="9" defaultRowHeight="14.4"/>
  <cols>
    <col min="2" max="2" width="37.109375" customWidth="1"/>
    <col min="3" max="3" width="11" customWidth="1"/>
    <col min="4" max="4" width="10.5546875" style="1" customWidth="1"/>
    <col min="5" max="5" width="12" style="2" customWidth="1"/>
    <col min="6" max="6" width="10" customWidth="1"/>
    <col min="7" max="7" width="11.109375" customWidth="1"/>
    <col min="14" max="15" width="9.109375" style="3"/>
    <col min="16" max="16" width="12.109375" customWidth="1"/>
    <col min="17" max="17" width="10.33203125" customWidth="1"/>
  </cols>
  <sheetData>
    <row r="2" spans="1:18" ht="25.2">
      <c r="A2" s="49" t="s">
        <v>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</row>
    <row r="3" spans="1:18" ht="21">
      <c r="A3" s="50" t="s">
        <v>1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</row>
    <row r="4" spans="1:18" ht="21">
      <c r="A4" s="4"/>
      <c r="B4" s="51" t="s">
        <v>2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4"/>
    </row>
    <row r="5" spans="1:18" ht="27.6">
      <c r="A5" s="52" t="s">
        <v>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</row>
    <row r="7" spans="1:18">
      <c r="P7" s="19"/>
    </row>
    <row r="8" spans="1:18">
      <c r="B8" s="5" t="s">
        <v>4</v>
      </c>
      <c r="C8" s="6" t="s">
        <v>5</v>
      </c>
      <c r="D8" s="7" t="s">
        <v>6</v>
      </c>
      <c r="E8" s="8" t="s">
        <v>7</v>
      </c>
      <c r="F8" s="6" t="s">
        <v>8</v>
      </c>
      <c r="G8" s="6" t="s">
        <v>9</v>
      </c>
      <c r="H8" s="6" t="s">
        <v>10</v>
      </c>
      <c r="I8" s="53" t="s">
        <v>11</v>
      </c>
      <c r="J8" s="54"/>
      <c r="K8" s="54"/>
      <c r="L8" s="55"/>
      <c r="M8" s="6" t="s">
        <v>11</v>
      </c>
      <c r="N8" s="6" t="s">
        <v>12</v>
      </c>
      <c r="O8" s="6" t="s">
        <v>13</v>
      </c>
      <c r="P8" s="6" t="s">
        <v>14</v>
      </c>
      <c r="Q8" s="19"/>
    </row>
    <row r="9" spans="1:18">
      <c r="A9" s="34" t="s">
        <v>23</v>
      </c>
      <c r="B9" s="5"/>
      <c r="C9" s="9"/>
      <c r="D9" s="10"/>
      <c r="E9" s="6"/>
      <c r="F9" s="6"/>
      <c r="G9" s="9"/>
      <c r="H9" s="9"/>
      <c r="I9" s="20" t="s">
        <v>15</v>
      </c>
      <c r="J9" s="20" t="s">
        <v>16</v>
      </c>
      <c r="K9" s="20" t="s">
        <v>17</v>
      </c>
      <c r="L9" s="20" t="s">
        <v>18</v>
      </c>
      <c r="M9" s="9"/>
      <c r="N9" s="6"/>
      <c r="O9" s="9"/>
      <c r="P9" s="6"/>
      <c r="Q9" s="19"/>
    </row>
    <row r="10" spans="1:18">
      <c r="A10">
        <v>1</v>
      </c>
      <c r="B10" s="11" t="s">
        <v>24</v>
      </c>
      <c r="C10" s="27">
        <v>83</v>
      </c>
      <c r="D10" s="10">
        <v>85</v>
      </c>
      <c r="E10" s="12">
        <v>80</v>
      </c>
      <c r="F10" s="12">
        <v>84</v>
      </c>
      <c r="G10" s="10">
        <v>84</v>
      </c>
      <c r="H10" s="10">
        <v>80</v>
      </c>
      <c r="I10" s="10">
        <v>83</v>
      </c>
      <c r="J10" s="10">
        <v>83</v>
      </c>
      <c r="K10" s="10">
        <v>84</v>
      </c>
      <c r="L10" s="10">
        <v>84</v>
      </c>
      <c r="M10" s="21">
        <f t="shared" ref="M10:M28" si="0">AVERAGE(I10:L10)</f>
        <v>83.5</v>
      </c>
      <c r="N10" s="10">
        <v>85</v>
      </c>
      <c r="O10" s="22">
        <f>(C10+D10+E10+F10+G10+H10+M10+N10)/8</f>
        <v>83.0625</v>
      </c>
      <c r="P10" s="6"/>
      <c r="Q10" s="19"/>
    </row>
    <row r="11" spans="1:18">
      <c r="A11">
        <f>1+A10</f>
        <v>2</v>
      </c>
      <c r="B11" s="13" t="s">
        <v>25</v>
      </c>
      <c r="C11" s="28">
        <v>86</v>
      </c>
      <c r="D11" s="10">
        <v>88</v>
      </c>
      <c r="E11" s="14">
        <v>92</v>
      </c>
      <c r="F11" s="14">
        <v>91</v>
      </c>
      <c r="G11" s="10">
        <v>88</v>
      </c>
      <c r="H11" s="10">
        <v>87</v>
      </c>
      <c r="I11" s="10">
        <v>91</v>
      </c>
      <c r="J11" s="10">
        <v>91</v>
      </c>
      <c r="K11" s="10">
        <v>90</v>
      </c>
      <c r="L11" s="10">
        <v>90</v>
      </c>
      <c r="M11" s="21">
        <f t="shared" si="0"/>
        <v>90.5</v>
      </c>
      <c r="N11" s="10">
        <v>89</v>
      </c>
      <c r="O11" s="22">
        <f t="shared" ref="O11:O43" si="1">(C11+D11+E11+F11+G11+H11+M11+N11)/8</f>
        <v>88.9375</v>
      </c>
      <c r="P11" s="6"/>
      <c r="Q11" s="19"/>
    </row>
    <row r="12" spans="1:18">
      <c r="A12">
        <f t="shared" ref="A12:A16" si="2">1+A11</f>
        <v>3</v>
      </c>
      <c r="B12" s="13" t="s">
        <v>26</v>
      </c>
      <c r="C12" s="28">
        <v>83</v>
      </c>
      <c r="D12" s="10">
        <v>84</v>
      </c>
      <c r="E12" s="14">
        <v>84</v>
      </c>
      <c r="F12" s="14">
        <v>85</v>
      </c>
      <c r="G12" s="10">
        <v>84</v>
      </c>
      <c r="H12" s="10">
        <v>81</v>
      </c>
      <c r="I12" s="10">
        <v>86</v>
      </c>
      <c r="J12" s="10">
        <v>86</v>
      </c>
      <c r="K12" s="10">
        <v>85</v>
      </c>
      <c r="L12" s="10">
        <v>85</v>
      </c>
      <c r="M12" s="21">
        <f t="shared" si="0"/>
        <v>85.5</v>
      </c>
      <c r="N12" s="10">
        <v>85</v>
      </c>
      <c r="O12" s="22">
        <f t="shared" si="1"/>
        <v>83.9375</v>
      </c>
      <c r="P12" s="6"/>
      <c r="Q12" s="19"/>
    </row>
    <row r="13" spans="1:18">
      <c r="A13">
        <f t="shared" si="2"/>
        <v>4</v>
      </c>
      <c r="B13" s="11" t="s">
        <v>27</v>
      </c>
      <c r="C13" s="28">
        <v>92</v>
      </c>
      <c r="D13" s="10">
        <v>95</v>
      </c>
      <c r="E13" s="14">
        <v>95</v>
      </c>
      <c r="F13" s="14">
        <v>95</v>
      </c>
      <c r="G13" s="10">
        <v>92</v>
      </c>
      <c r="H13" s="10">
        <v>92</v>
      </c>
      <c r="I13" s="10">
        <v>92</v>
      </c>
      <c r="J13" s="10">
        <v>92</v>
      </c>
      <c r="K13" s="10">
        <v>94</v>
      </c>
      <c r="L13" s="10">
        <v>94</v>
      </c>
      <c r="M13" s="21">
        <f t="shared" si="0"/>
        <v>93</v>
      </c>
      <c r="N13" s="10">
        <v>93</v>
      </c>
      <c r="O13" s="40">
        <f t="shared" si="1"/>
        <v>93.375</v>
      </c>
      <c r="P13" s="44" t="s">
        <v>58</v>
      </c>
      <c r="Q13" s="19"/>
    </row>
    <row r="14" spans="1:18">
      <c r="A14">
        <f t="shared" si="2"/>
        <v>5</v>
      </c>
      <c r="B14" s="13" t="s">
        <v>28</v>
      </c>
      <c r="C14" s="28">
        <v>86</v>
      </c>
      <c r="D14" s="10">
        <v>85</v>
      </c>
      <c r="E14" s="14">
        <v>87</v>
      </c>
      <c r="F14" s="14">
        <v>87</v>
      </c>
      <c r="G14" s="10">
        <v>86</v>
      </c>
      <c r="H14" s="10">
        <v>87</v>
      </c>
      <c r="I14" s="10">
        <v>87</v>
      </c>
      <c r="J14" s="10">
        <v>87</v>
      </c>
      <c r="K14" s="10">
        <v>88</v>
      </c>
      <c r="L14" s="10">
        <v>88</v>
      </c>
      <c r="M14" s="21">
        <f t="shared" si="0"/>
        <v>87.5</v>
      </c>
      <c r="N14" s="10">
        <v>85</v>
      </c>
      <c r="O14" s="22">
        <f t="shared" si="1"/>
        <v>86.3125</v>
      </c>
      <c r="P14" s="8"/>
      <c r="Q14" s="19"/>
    </row>
    <row r="15" spans="1:18">
      <c r="A15">
        <f t="shared" si="2"/>
        <v>6</v>
      </c>
      <c r="B15" s="13" t="s">
        <v>29</v>
      </c>
      <c r="C15" s="28">
        <v>86</v>
      </c>
      <c r="D15" s="10">
        <v>88</v>
      </c>
      <c r="E15" s="14">
        <v>87</v>
      </c>
      <c r="F15" s="14">
        <v>85</v>
      </c>
      <c r="G15" s="41">
        <v>85</v>
      </c>
      <c r="H15" s="10">
        <v>85</v>
      </c>
      <c r="I15" s="41">
        <v>85</v>
      </c>
      <c r="J15" s="41">
        <v>85</v>
      </c>
      <c r="K15" s="41">
        <v>86</v>
      </c>
      <c r="L15" s="41">
        <v>86</v>
      </c>
      <c r="M15" s="21">
        <f t="shared" si="0"/>
        <v>85.5</v>
      </c>
      <c r="N15" s="10">
        <v>86</v>
      </c>
      <c r="O15" s="22">
        <f t="shared" si="1"/>
        <v>85.9375</v>
      </c>
      <c r="P15" s="8"/>
      <c r="Q15" s="19"/>
    </row>
    <row r="16" spans="1:18">
      <c r="A16">
        <f t="shared" si="2"/>
        <v>7</v>
      </c>
      <c r="B16" s="11" t="s">
        <v>30</v>
      </c>
      <c r="C16" s="28">
        <v>93</v>
      </c>
      <c r="D16" s="10">
        <v>91</v>
      </c>
      <c r="E16" s="14">
        <v>94</v>
      </c>
      <c r="F16" s="14">
        <v>94</v>
      </c>
      <c r="G16" s="10">
        <v>90</v>
      </c>
      <c r="H16" s="10">
        <v>94</v>
      </c>
      <c r="I16" s="10">
        <v>92</v>
      </c>
      <c r="J16" s="10">
        <v>92</v>
      </c>
      <c r="K16" s="10">
        <v>92</v>
      </c>
      <c r="L16" s="10">
        <v>92</v>
      </c>
      <c r="M16" s="21">
        <f t="shared" si="0"/>
        <v>92</v>
      </c>
      <c r="N16" s="10">
        <v>92</v>
      </c>
      <c r="O16" s="40">
        <f t="shared" si="1"/>
        <v>92.5</v>
      </c>
      <c r="P16" s="44" t="s">
        <v>63</v>
      </c>
      <c r="Q16" s="19"/>
    </row>
    <row r="17" spans="1:19">
      <c r="A17">
        <v>8</v>
      </c>
      <c r="B17" s="11" t="s">
        <v>31</v>
      </c>
      <c r="C17" s="30">
        <v>85</v>
      </c>
      <c r="D17" s="10">
        <v>85</v>
      </c>
      <c r="E17" s="14">
        <v>81</v>
      </c>
      <c r="F17" s="14">
        <v>87</v>
      </c>
      <c r="G17" s="10">
        <v>86</v>
      </c>
      <c r="H17" s="10">
        <v>86</v>
      </c>
      <c r="I17" s="10">
        <v>85</v>
      </c>
      <c r="J17" s="10">
        <v>85</v>
      </c>
      <c r="K17" s="10">
        <v>86</v>
      </c>
      <c r="L17" s="10">
        <v>86</v>
      </c>
      <c r="M17" s="21">
        <f t="shared" si="0"/>
        <v>85.5</v>
      </c>
      <c r="N17" s="10">
        <v>85</v>
      </c>
      <c r="O17" s="22">
        <f t="shared" si="1"/>
        <v>85.0625</v>
      </c>
      <c r="P17" s="8"/>
      <c r="Q17" s="19"/>
    </row>
    <row r="18" spans="1:19">
      <c r="A18">
        <v>9</v>
      </c>
      <c r="B18" s="11" t="s">
        <v>32</v>
      </c>
      <c r="C18" s="31">
        <v>85</v>
      </c>
      <c r="D18" s="10">
        <v>86</v>
      </c>
      <c r="E18" s="14">
        <v>81</v>
      </c>
      <c r="F18" s="14">
        <v>85</v>
      </c>
      <c r="G18" s="10">
        <v>87</v>
      </c>
      <c r="H18" s="10">
        <v>84</v>
      </c>
      <c r="I18" s="10">
        <v>87</v>
      </c>
      <c r="J18" s="10">
        <v>87</v>
      </c>
      <c r="K18" s="10">
        <v>88</v>
      </c>
      <c r="L18" s="10">
        <v>88</v>
      </c>
      <c r="M18" s="21">
        <f t="shared" si="0"/>
        <v>87.5</v>
      </c>
      <c r="N18" s="10">
        <v>87</v>
      </c>
      <c r="O18" s="22">
        <f t="shared" si="1"/>
        <v>85.3125</v>
      </c>
      <c r="P18" s="8"/>
      <c r="Q18" s="19"/>
    </row>
    <row r="19" spans="1:19">
      <c r="A19">
        <v>10</v>
      </c>
      <c r="B19" s="11" t="s">
        <v>33</v>
      </c>
      <c r="C19" s="31">
        <v>82</v>
      </c>
      <c r="D19" s="10">
        <v>83</v>
      </c>
      <c r="E19" s="14">
        <v>80</v>
      </c>
      <c r="F19" s="14">
        <v>83</v>
      </c>
      <c r="G19" s="10">
        <v>82</v>
      </c>
      <c r="H19" s="10">
        <v>81</v>
      </c>
      <c r="I19" s="10">
        <v>84</v>
      </c>
      <c r="J19" s="10">
        <v>84</v>
      </c>
      <c r="K19" s="41">
        <v>85</v>
      </c>
      <c r="L19" s="10">
        <v>84</v>
      </c>
      <c r="M19" s="21">
        <f t="shared" si="0"/>
        <v>84.25</v>
      </c>
      <c r="N19" s="10">
        <v>84</v>
      </c>
      <c r="O19" s="22">
        <f t="shared" si="1"/>
        <v>82.40625</v>
      </c>
      <c r="P19" s="8"/>
      <c r="Q19" s="19"/>
    </row>
    <row r="20" spans="1:19">
      <c r="A20">
        <v>11</v>
      </c>
      <c r="B20" s="11" t="s">
        <v>34</v>
      </c>
      <c r="C20" s="31">
        <v>82</v>
      </c>
      <c r="D20" s="10">
        <v>82</v>
      </c>
      <c r="E20" s="14">
        <v>79</v>
      </c>
      <c r="F20" s="14">
        <v>83</v>
      </c>
      <c r="G20" s="10">
        <v>81</v>
      </c>
      <c r="H20" s="10">
        <v>80</v>
      </c>
      <c r="I20" s="10">
        <v>82</v>
      </c>
      <c r="J20" s="10">
        <v>82</v>
      </c>
      <c r="K20" s="10">
        <v>83</v>
      </c>
      <c r="L20" s="10">
        <v>83</v>
      </c>
      <c r="M20" s="21">
        <f t="shared" si="0"/>
        <v>82.5</v>
      </c>
      <c r="N20" s="10">
        <v>83</v>
      </c>
      <c r="O20" s="22">
        <f t="shared" si="1"/>
        <v>81.5625</v>
      </c>
      <c r="P20" s="8"/>
      <c r="Q20" s="19"/>
    </row>
    <row r="21" spans="1:19">
      <c r="A21">
        <v>12</v>
      </c>
      <c r="B21" s="11" t="s">
        <v>35</v>
      </c>
      <c r="C21" s="29">
        <v>89</v>
      </c>
      <c r="D21" s="10">
        <v>92</v>
      </c>
      <c r="E21" s="14">
        <v>89</v>
      </c>
      <c r="F21" s="14">
        <v>90</v>
      </c>
      <c r="G21" s="10">
        <v>88</v>
      </c>
      <c r="H21" s="10">
        <v>88</v>
      </c>
      <c r="I21" s="41">
        <v>90</v>
      </c>
      <c r="J21" s="10">
        <v>89</v>
      </c>
      <c r="K21" s="41">
        <v>90</v>
      </c>
      <c r="L21" s="41">
        <v>90</v>
      </c>
      <c r="M21" s="21">
        <f t="shared" si="0"/>
        <v>89.75</v>
      </c>
      <c r="N21" s="10">
        <v>91</v>
      </c>
      <c r="O21" s="22">
        <f t="shared" si="1"/>
        <v>89.59375</v>
      </c>
      <c r="P21" s="8"/>
      <c r="Q21" s="19"/>
    </row>
    <row r="22" spans="1:19">
      <c r="A22">
        <v>13</v>
      </c>
      <c r="B22" s="11" t="s">
        <v>36</v>
      </c>
      <c r="C22" s="29">
        <v>87</v>
      </c>
      <c r="D22" s="10">
        <v>84</v>
      </c>
      <c r="E22" s="14">
        <v>80</v>
      </c>
      <c r="F22" s="14">
        <v>85</v>
      </c>
      <c r="G22" s="10">
        <v>84</v>
      </c>
      <c r="H22" s="10">
        <v>81</v>
      </c>
      <c r="I22" s="10">
        <v>85</v>
      </c>
      <c r="J22" s="10">
        <v>85</v>
      </c>
      <c r="K22" s="10">
        <v>85</v>
      </c>
      <c r="L22" s="10">
        <v>85</v>
      </c>
      <c r="M22" s="21">
        <f t="shared" si="0"/>
        <v>85</v>
      </c>
      <c r="N22" s="10">
        <v>86</v>
      </c>
      <c r="O22" s="22">
        <f t="shared" si="1"/>
        <v>84</v>
      </c>
      <c r="P22" s="8"/>
      <c r="Q22" s="19"/>
    </row>
    <row r="23" spans="1:19">
      <c r="A23">
        <v>14</v>
      </c>
      <c r="B23" s="11" t="s">
        <v>37</v>
      </c>
      <c r="C23" s="29">
        <v>82</v>
      </c>
      <c r="D23" s="10">
        <v>84</v>
      </c>
      <c r="E23" s="14">
        <v>79</v>
      </c>
      <c r="F23" s="14">
        <v>84</v>
      </c>
      <c r="G23" s="10">
        <v>80</v>
      </c>
      <c r="H23" s="10">
        <v>81</v>
      </c>
      <c r="I23" s="10">
        <v>83</v>
      </c>
      <c r="J23" s="10">
        <v>83</v>
      </c>
      <c r="K23" s="10">
        <v>82</v>
      </c>
      <c r="L23" s="10">
        <v>82</v>
      </c>
      <c r="M23" s="21">
        <f t="shared" si="0"/>
        <v>82.5</v>
      </c>
      <c r="N23" s="10">
        <v>83</v>
      </c>
      <c r="O23" s="22">
        <f t="shared" si="1"/>
        <v>81.9375</v>
      </c>
      <c r="P23" s="8"/>
      <c r="Q23" s="19"/>
    </row>
    <row r="24" spans="1:19">
      <c r="A24">
        <v>15</v>
      </c>
      <c r="B24" s="11" t="s">
        <v>38</v>
      </c>
      <c r="C24" s="29">
        <v>86</v>
      </c>
      <c r="D24" s="10">
        <v>88</v>
      </c>
      <c r="E24" s="14">
        <v>82</v>
      </c>
      <c r="F24" s="14">
        <v>87</v>
      </c>
      <c r="G24" s="10">
        <v>84</v>
      </c>
      <c r="H24" s="10">
        <v>81</v>
      </c>
      <c r="I24" s="10">
        <v>88</v>
      </c>
      <c r="J24" s="10">
        <v>88</v>
      </c>
      <c r="K24" s="41">
        <v>87</v>
      </c>
      <c r="L24" s="10">
        <v>86</v>
      </c>
      <c r="M24" s="21">
        <f t="shared" si="0"/>
        <v>87.25</v>
      </c>
      <c r="N24" s="10">
        <v>86</v>
      </c>
      <c r="O24" s="22">
        <f t="shared" si="1"/>
        <v>85.15625</v>
      </c>
      <c r="P24" s="8"/>
      <c r="Q24" s="19"/>
    </row>
    <row r="25" spans="1:19" ht="14.25" customHeight="1">
      <c r="A25">
        <v>16</v>
      </c>
      <c r="B25" s="11" t="s">
        <v>39</v>
      </c>
      <c r="C25" s="29">
        <v>92</v>
      </c>
      <c r="D25" s="10">
        <v>96</v>
      </c>
      <c r="E25" s="14">
        <v>95</v>
      </c>
      <c r="F25" s="14">
        <v>95</v>
      </c>
      <c r="G25" s="10">
        <v>92</v>
      </c>
      <c r="H25" s="10">
        <v>94</v>
      </c>
      <c r="I25" s="35">
        <v>94</v>
      </c>
      <c r="J25" s="35">
        <v>94</v>
      </c>
      <c r="K25" s="36">
        <v>93</v>
      </c>
      <c r="L25" s="36">
        <v>93</v>
      </c>
      <c r="M25" s="21">
        <f t="shared" si="0"/>
        <v>93.5</v>
      </c>
      <c r="N25" s="10">
        <v>95</v>
      </c>
      <c r="O25" s="40">
        <f t="shared" si="1"/>
        <v>94.0625</v>
      </c>
      <c r="P25" s="44" t="s">
        <v>57</v>
      </c>
      <c r="Q25" s="19"/>
    </row>
    <row r="26" spans="1:19" ht="17.25" customHeight="1">
      <c r="A26">
        <f t="shared" ref="A26:A36" si="3">1+A25</f>
        <v>17</v>
      </c>
      <c r="B26" s="13" t="s">
        <v>40</v>
      </c>
      <c r="C26" s="29">
        <v>93</v>
      </c>
      <c r="D26" s="10">
        <v>94</v>
      </c>
      <c r="E26" s="14">
        <v>91</v>
      </c>
      <c r="F26" s="14">
        <v>92</v>
      </c>
      <c r="G26" s="10">
        <v>92</v>
      </c>
      <c r="H26" s="10">
        <v>92</v>
      </c>
      <c r="I26" s="10">
        <v>91</v>
      </c>
      <c r="J26" s="10">
        <v>91</v>
      </c>
      <c r="K26" s="10">
        <v>90</v>
      </c>
      <c r="L26" s="10">
        <v>90</v>
      </c>
      <c r="M26" s="21">
        <f t="shared" si="0"/>
        <v>90.5</v>
      </c>
      <c r="N26" s="10">
        <v>95</v>
      </c>
      <c r="O26" s="40">
        <f t="shared" si="1"/>
        <v>92.4375</v>
      </c>
      <c r="P26" s="44" t="s">
        <v>64</v>
      </c>
      <c r="Q26" s="19"/>
      <c r="S26" s="26"/>
    </row>
    <row r="27" spans="1:19">
      <c r="A27">
        <f t="shared" si="3"/>
        <v>18</v>
      </c>
      <c r="B27" s="13" t="s">
        <v>41</v>
      </c>
      <c r="C27" s="29">
        <v>78</v>
      </c>
      <c r="D27" s="10">
        <v>80</v>
      </c>
      <c r="E27" s="14">
        <v>78</v>
      </c>
      <c r="F27" s="14">
        <v>80</v>
      </c>
      <c r="G27" s="10">
        <v>79</v>
      </c>
      <c r="H27" s="10">
        <v>80</v>
      </c>
      <c r="I27" s="10">
        <v>82</v>
      </c>
      <c r="J27" s="10">
        <v>82</v>
      </c>
      <c r="K27" s="10">
        <v>81</v>
      </c>
      <c r="L27" s="10">
        <v>81</v>
      </c>
      <c r="M27" s="21">
        <f t="shared" si="0"/>
        <v>81.5</v>
      </c>
      <c r="N27" s="10">
        <v>80</v>
      </c>
      <c r="O27" s="22">
        <f t="shared" si="1"/>
        <v>79.5625</v>
      </c>
      <c r="P27" s="8"/>
      <c r="Q27" s="19"/>
    </row>
    <row r="28" spans="1:19">
      <c r="A28">
        <v>19</v>
      </c>
      <c r="B28" s="11" t="s">
        <v>42</v>
      </c>
      <c r="C28" s="29">
        <v>86</v>
      </c>
      <c r="D28" s="10">
        <v>86</v>
      </c>
      <c r="E28" s="14">
        <v>80</v>
      </c>
      <c r="F28" s="14">
        <v>84</v>
      </c>
      <c r="G28" s="10">
        <v>83</v>
      </c>
      <c r="H28" s="10">
        <v>86</v>
      </c>
      <c r="I28" s="10">
        <v>86</v>
      </c>
      <c r="J28" s="10">
        <v>86</v>
      </c>
      <c r="K28" s="10">
        <v>87</v>
      </c>
      <c r="L28" s="10">
        <v>87</v>
      </c>
      <c r="M28" s="21">
        <f t="shared" si="0"/>
        <v>86.5</v>
      </c>
      <c r="N28" s="10">
        <v>85</v>
      </c>
      <c r="O28" s="22">
        <f t="shared" si="1"/>
        <v>84.5625</v>
      </c>
      <c r="P28" s="8"/>
      <c r="Q28" s="19"/>
    </row>
    <row r="29" spans="1:19">
      <c r="A29" s="34" t="s">
        <v>22</v>
      </c>
      <c r="B29" s="11"/>
      <c r="C29" s="29"/>
      <c r="D29" s="10"/>
      <c r="E29" s="14"/>
      <c r="F29" s="6"/>
      <c r="G29" s="10"/>
      <c r="H29" s="10"/>
      <c r="I29" s="10"/>
      <c r="J29" s="10"/>
      <c r="K29" s="10"/>
      <c r="L29" s="10"/>
      <c r="M29" s="21"/>
      <c r="N29" s="10"/>
      <c r="O29" s="22"/>
      <c r="P29" s="8"/>
      <c r="Q29" s="19"/>
    </row>
    <row r="30" spans="1:19">
      <c r="A30">
        <v>1</v>
      </c>
      <c r="B30" s="37" t="s">
        <v>43</v>
      </c>
      <c r="C30" s="29">
        <v>94</v>
      </c>
      <c r="D30" s="10">
        <v>92</v>
      </c>
      <c r="E30" s="14">
        <v>93</v>
      </c>
      <c r="F30" s="14">
        <v>94</v>
      </c>
      <c r="G30" s="10">
        <v>90</v>
      </c>
      <c r="H30" s="10">
        <v>93</v>
      </c>
      <c r="I30" s="10">
        <v>91</v>
      </c>
      <c r="J30" s="10">
        <v>91</v>
      </c>
      <c r="K30" s="10">
        <v>92</v>
      </c>
      <c r="L30" s="10">
        <v>92</v>
      </c>
      <c r="M30" s="21">
        <v>93</v>
      </c>
      <c r="N30" s="10">
        <v>92</v>
      </c>
      <c r="O30" s="40">
        <f t="shared" ref="O30:O31" si="4">(C30+D30+E30+F30+G30+H30+M30+N30)/8</f>
        <v>92.625</v>
      </c>
      <c r="P30" s="44" t="s">
        <v>62</v>
      </c>
      <c r="Q30" s="19"/>
    </row>
    <row r="31" spans="1:19">
      <c r="A31">
        <v>2</v>
      </c>
      <c r="B31" s="37" t="s">
        <v>44</v>
      </c>
      <c r="C31" s="32">
        <v>88</v>
      </c>
      <c r="D31" s="43">
        <v>90</v>
      </c>
      <c r="E31" s="14">
        <v>89</v>
      </c>
      <c r="F31" s="14">
        <v>90</v>
      </c>
      <c r="G31" s="42">
        <v>88</v>
      </c>
      <c r="H31" s="15">
        <v>89</v>
      </c>
      <c r="I31" s="41">
        <v>90</v>
      </c>
      <c r="J31" s="41">
        <v>90</v>
      </c>
      <c r="K31" s="41">
        <v>90</v>
      </c>
      <c r="L31" s="41">
        <v>90</v>
      </c>
      <c r="M31" s="21">
        <f t="shared" ref="M31" si="5">AVERAGE(I31:L31)</f>
        <v>90</v>
      </c>
      <c r="N31" s="42">
        <v>91</v>
      </c>
      <c r="O31" s="22">
        <f t="shared" si="4"/>
        <v>89.375</v>
      </c>
      <c r="P31" s="8"/>
      <c r="Q31" s="19"/>
    </row>
    <row r="32" spans="1:19">
      <c r="A32">
        <f t="shared" si="3"/>
        <v>3</v>
      </c>
      <c r="B32" s="38" t="s">
        <v>45</v>
      </c>
      <c r="C32" s="32">
        <v>85</v>
      </c>
      <c r="D32" s="33">
        <v>88</v>
      </c>
      <c r="E32" s="14">
        <v>81</v>
      </c>
      <c r="F32" s="14">
        <v>85</v>
      </c>
      <c r="G32" s="10">
        <v>85</v>
      </c>
      <c r="H32" s="10">
        <v>82</v>
      </c>
      <c r="I32" s="10">
        <v>87</v>
      </c>
      <c r="J32" s="10">
        <v>87</v>
      </c>
      <c r="K32" s="10">
        <v>88</v>
      </c>
      <c r="L32" s="10">
        <v>88</v>
      </c>
      <c r="M32" s="21">
        <f t="shared" ref="M32:M43" si="6">AVERAGE(I32:L32)</f>
        <v>87.5</v>
      </c>
      <c r="N32" s="10">
        <v>87</v>
      </c>
      <c r="O32" s="22">
        <f t="shared" si="1"/>
        <v>85.0625</v>
      </c>
      <c r="P32" s="8"/>
      <c r="Q32" s="19"/>
    </row>
    <row r="33" spans="1:17">
      <c r="A33">
        <f t="shared" si="3"/>
        <v>4</v>
      </c>
      <c r="B33" s="37" t="s">
        <v>46</v>
      </c>
      <c r="C33" s="29">
        <v>83</v>
      </c>
      <c r="D33" s="10">
        <v>86</v>
      </c>
      <c r="E33" s="14">
        <v>86</v>
      </c>
      <c r="F33" s="14">
        <v>84</v>
      </c>
      <c r="G33" s="10">
        <v>83</v>
      </c>
      <c r="H33" s="10">
        <v>82</v>
      </c>
      <c r="I33" s="10">
        <v>84</v>
      </c>
      <c r="J33" s="10">
        <v>84</v>
      </c>
      <c r="K33" s="10">
        <v>85</v>
      </c>
      <c r="L33" s="10">
        <v>85</v>
      </c>
      <c r="M33" s="21">
        <f t="shared" si="6"/>
        <v>84.5</v>
      </c>
      <c r="N33" s="10">
        <v>85</v>
      </c>
      <c r="O33" s="22">
        <f t="shared" si="1"/>
        <v>84.1875</v>
      </c>
      <c r="P33" s="8"/>
      <c r="Q33" s="19"/>
    </row>
    <row r="34" spans="1:17">
      <c r="A34">
        <f t="shared" si="3"/>
        <v>5</v>
      </c>
      <c r="B34" s="38" t="s">
        <v>47</v>
      </c>
      <c r="C34" s="29">
        <v>85</v>
      </c>
      <c r="D34" s="10">
        <v>85</v>
      </c>
      <c r="E34" s="14">
        <v>89</v>
      </c>
      <c r="F34" s="14">
        <v>84</v>
      </c>
      <c r="G34" s="10">
        <v>84</v>
      </c>
      <c r="H34" s="10">
        <v>87</v>
      </c>
      <c r="I34" s="10">
        <v>84</v>
      </c>
      <c r="J34" s="10">
        <v>84</v>
      </c>
      <c r="K34" s="10">
        <v>85</v>
      </c>
      <c r="L34" s="10">
        <v>85</v>
      </c>
      <c r="M34" s="21">
        <f t="shared" si="6"/>
        <v>84.5</v>
      </c>
      <c r="N34" s="10">
        <v>86</v>
      </c>
      <c r="O34" s="22">
        <f t="shared" si="1"/>
        <v>85.5625</v>
      </c>
      <c r="P34" s="8"/>
      <c r="Q34" s="19"/>
    </row>
    <row r="35" spans="1:17">
      <c r="A35">
        <f t="shared" si="3"/>
        <v>6</v>
      </c>
      <c r="B35" s="38" t="s">
        <v>48</v>
      </c>
      <c r="C35" s="29">
        <v>85</v>
      </c>
      <c r="D35" s="10">
        <v>84</v>
      </c>
      <c r="E35" s="14">
        <v>89</v>
      </c>
      <c r="F35" s="14">
        <v>85</v>
      </c>
      <c r="G35" s="10">
        <v>84</v>
      </c>
      <c r="H35" s="10">
        <v>85</v>
      </c>
      <c r="I35" s="10">
        <v>85</v>
      </c>
      <c r="J35" s="10">
        <v>85</v>
      </c>
      <c r="K35" s="10">
        <v>86</v>
      </c>
      <c r="L35" s="10">
        <v>86</v>
      </c>
      <c r="M35" s="21">
        <f t="shared" si="6"/>
        <v>85.5</v>
      </c>
      <c r="N35" s="10">
        <v>84</v>
      </c>
      <c r="O35" s="22">
        <f t="shared" si="1"/>
        <v>85.1875</v>
      </c>
      <c r="P35" s="8"/>
      <c r="Q35" s="19"/>
    </row>
    <row r="36" spans="1:17">
      <c r="A36">
        <f t="shared" si="3"/>
        <v>7</v>
      </c>
      <c r="B36" s="37" t="s">
        <v>49</v>
      </c>
      <c r="C36" s="29">
        <v>88</v>
      </c>
      <c r="D36" s="10">
        <v>86</v>
      </c>
      <c r="E36" s="14">
        <v>88</v>
      </c>
      <c r="F36" s="14">
        <v>89</v>
      </c>
      <c r="G36" s="10">
        <v>85</v>
      </c>
      <c r="H36" s="10">
        <v>86</v>
      </c>
      <c r="I36" s="10">
        <v>87</v>
      </c>
      <c r="J36" s="10">
        <v>87</v>
      </c>
      <c r="K36" s="10">
        <v>88</v>
      </c>
      <c r="L36" s="10">
        <v>88</v>
      </c>
      <c r="M36" s="21">
        <f t="shared" si="6"/>
        <v>87.5</v>
      </c>
      <c r="N36" s="10">
        <v>87</v>
      </c>
      <c r="O36" s="22">
        <f t="shared" si="1"/>
        <v>87.0625</v>
      </c>
      <c r="P36" s="8"/>
      <c r="Q36" s="19"/>
    </row>
    <row r="37" spans="1:17">
      <c r="A37">
        <v>8</v>
      </c>
      <c r="B37" s="38" t="s">
        <v>50</v>
      </c>
      <c r="C37" s="29">
        <v>88</v>
      </c>
      <c r="D37" s="10">
        <v>88</v>
      </c>
      <c r="E37" s="14">
        <v>87</v>
      </c>
      <c r="F37" s="14">
        <v>84</v>
      </c>
      <c r="G37" s="10">
        <v>85</v>
      </c>
      <c r="H37" s="10">
        <v>87</v>
      </c>
      <c r="I37" s="10">
        <v>86</v>
      </c>
      <c r="J37" s="10">
        <v>86</v>
      </c>
      <c r="K37" s="10">
        <v>87</v>
      </c>
      <c r="L37" s="10">
        <v>87</v>
      </c>
      <c r="M37" s="21">
        <f t="shared" si="6"/>
        <v>86.5</v>
      </c>
      <c r="N37" s="41">
        <v>85</v>
      </c>
      <c r="O37" s="22">
        <f t="shared" si="1"/>
        <v>86.3125</v>
      </c>
      <c r="P37" s="8"/>
      <c r="Q37" s="19"/>
    </row>
    <row r="38" spans="1:17">
      <c r="A38">
        <v>9</v>
      </c>
      <c r="B38" s="38" t="s">
        <v>51</v>
      </c>
      <c r="C38" s="29">
        <v>92</v>
      </c>
      <c r="D38" s="10">
        <v>92</v>
      </c>
      <c r="E38" s="14">
        <v>94</v>
      </c>
      <c r="F38" s="14">
        <v>95</v>
      </c>
      <c r="G38" s="10">
        <v>90</v>
      </c>
      <c r="H38" s="10">
        <v>95</v>
      </c>
      <c r="I38" s="10">
        <v>92</v>
      </c>
      <c r="J38" s="10">
        <v>92</v>
      </c>
      <c r="K38" s="10">
        <v>93</v>
      </c>
      <c r="L38" s="10">
        <v>93</v>
      </c>
      <c r="M38" s="21">
        <f t="shared" si="6"/>
        <v>92.5</v>
      </c>
      <c r="N38" s="10">
        <v>93</v>
      </c>
      <c r="O38" s="40">
        <f t="shared" si="1"/>
        <v>92.9375</v>
      </c>
      <c r="P38" s="44" t="s">
        <v>60</v>
      </c>
      <c r="Q38" s="19"/>
    </row>
    <row r="39" spans="1:17">
      <c r="A39">
        <v>10</v>
      </c>
      <c r="B39" s="37" t="s">
        <v>52</v>
      </c>
      <c r="C39" s="29">
        <v>94</v>
      </c>
      <c r="D39" s="10">
        <v>95</v>
      </c>
      <c r="E39" s="14">
        <v>92</v>
      </c>
      <c r="F39" s="14">
        <v>94</v>
      </c>
      <c r="G39" s="10">
        <v>93</v>
      </c>
      <c r="H39" s="10">
        <v>94</v>
      </c>
      <c r="I39" s="10">
        <v>91</v>
      </c>
      <c r="J39" s="10">
        <v>91</v>
      </c>
      <c r="K39" s="10">
        <v>90</v>
      </c>
      <c r="L39" s="10">
        <v>90</v>
      </c>
      <c r="M39" s="21">
        <f t="shared" si="6"/>
        <v>90.5</v>
      </c>
      <c r="N39" s="10">
        <v>93</v>
      </c>
      <c r="O39" s="40">
        <f t="shared" si="1"/>
        <v>93.1875</v>
      </c>
      <c r="P39" s="44" t="s">
        <v>59</v>
      </c>
      <c r="Q39" s="19"/>
    </row>
    <row r="40" spans="1:17">
      <c r="A40">
        <v>11</v>
      </c>
      <c r="B40" s="37" t="s">
        <v>53</v>
      </c>
      <c r="C40" s="29">
        <v>91</v>
      </c>
      <c r="D40" s="10">
        <v>90</v>
      </c>
      <c r="E40" s="14">
        <v>92</v>
      </c>
      <c r="F40" s="14">
        <v>93</v>
      </c>
      <c r="G40" s="10">
        <v>90</v>
      </c>
      <c r="H40" s="10">
        <v>92</v>
      </c>
      <c r="I40" s="10">
        <v>90</v>
      </c>
      <c r="J40" s="10">
        <v>90</v>
      </c>
      <c r="K40" s="41">
        <v>90</v>
      </c>
      <c r="L40" s="41">
        <v>90</v>
      </c>
      <c r="M40" s="21">
        <f t="shared" si="6"/>
        <v>90</v>
      </c>
      <c r="N40" s="10">
        <v>91</v>
      </c>
      <c r="O40" s="40">
        <f t="shared" si="1"/>
        <v>91.125</v>
      </c>
      <c r="P40" s="44" t="s">
        <v>65</v>
      </c>
      <c r="Q40" s="19"/>
    </row>
    <row r="41" spans="1:17">
      <c r="A41">
        <v>12</v>
      </c>
      <c r="B41" s="38" t="s">
        <v>54</v>
      </c>
      <c r="C41" s="29">
        <v>89</v>
      </c>
      <c r="D41" s="10">
        <v>90</v>
      </c>
      <c r="E41" s="14">
        <v>89</v>
      </c>
      <c r="F41" s="14">
        <v>91</v>
      </c>
      <c r="G41" s="10">
        <v>89</v>
      </c>
      <c r="H41" s="10">
        <v>91</v>
      </c>
      <c r="I41" s="41">
        <v>91</v>
      </c>
      <c r="J41" s="10">
        <v>91</v>
      </c>
      <c r="K41" s="41">
        <v>92</v>
      </c>
      <c r="L41" s="41">
        <v>92</v>
      </c>
      <c r="M41" s="21">
        <f t="shared" si="6"/>
        <v>91.5</v>
      </c>
      <c r="N41" s="10">
        <v>90</v>
      </c>
      <c r="O41" s="40">
        <f t="shared" si="1"/>
        <v>90.0625</v>
      </c>
      <c r="P41" s="45" t="s">
        <v>66</v>
      </c>
      <c r="Q41" s="19"/>
    </row>
    <row r="42" spans="1:17">
      <c r="A42">
        <v>13</v>
      </c>
      <c r="B42" s="39" t="s">
        <v>55</v>
      </c>
      <c r="C42" s="33">
        <v>85</v>
      </c>
      <c r="D42" s="33">
        <v>86</v>
      </c>
      <c r="E42" s="32">
        <v>86</v>
      </c>
      <c r="F42" s="32">
        <v>85</v>
      </c>
      <c r="G42" s="33">
        <v>84</v>
      </c>
      <c r="H42" s="33">
        <v>86</v>
      </c>
      <c r="I42" s="33">
        <v>85</v>
      </c>
      <c r="J42" s="33">
        <v>85</v>
      </c>
      <c r="K42" s="33">
        <v>86</v>
      </c>
      <c r="L42" s="33">
        <v>86</v>
      </c>
      <c r="M42" s="21">
        <f t="shared" si="6"/>
        <v>85.5</v>
      </c>
      <c r="N42" s="33">
        <v>85</v>
      </c>
      <c r="O42" s="22">
        <f t="shared" si="1"/>
        <v>85.3125</v>
      </c>
      <c r="P42" s="23"/>
      <c r="Q42" s="19"/>
    </row>
    <row r="43" spans="1:17">
      <c r="A43">
        <v>14</v>
      </c>
      <c r="B43" s="39" t="s">
        <v>56</v>
      </c>
      <c r="C43" s="33">
        <v>92</v>
      </c>
      <c r="D43" s="33">
        <v>93</v>
      </c>
      <c r="E43" s="32">
        <v>93</v>
      </c>
      <c r="F43" s="32">
        <v>95</v>
      </c>
      <c r="G43" s="33">
        <v>91</v>
      </c>
      <c r="H43" s="33">
        <v>92</v>
      </c>
      <c r="I43" s="33">
        <v>93</v>
      </c>
      <c r="J43" s="33">
        <v>93</v>
      </c>
      <c r="K43" s="33">
        <v>92</v>
      </c>
      <c r="L43" s="33">
        <v>92</v>
      </c>
      <c r="M43" s="21">
        <f t="shared" si="6"/>
        <v>92.5</v>
      </c>
      <c r="N43" s="33">
        <v>93</v>
      </c>
      <c r="O43" s="40">
        <f t="shared" si="1"/>
        <v>92.6875</v>
      </c>
      <c r="P43" s="45" t="s">
        <v>61</v>
      </c>
      <c r="Q43" s="19"/>
    </row>
    <row r="44" spans="1:17">
      <c r="D44"/>
      <c r="E44"/>
      <c r="N44"/>
      <c r="O44"/>
    </row>
    <row r="45" spans="1:17">
      <c r="D45"/>
      <c r="E45"/>
      <c r="N45"/>
      <c r="O45"/>
    </row>
    <row r="46" spans="1:17">
      <c r="D46"/>
      <c r="E46"/>
      <c r="N46"/>
      <c r="O46"/>
    </row>
    <row r="47" spans="1:17">
      <c r="C47" s="17"/>
      <c r="D47" s="17"/>
      <c r="E47" s="17"/>
      <c r="I47" s="2" t="s">
        <v>19</v>
      </c>
      <c r="J47" s="2"/>
      <c r="K47" s="2"/>
    </row>
    <row r="48" spans="1:17">
      <c r="B48" s="16">
        <v>0</v>
      </c>
      <c r="C48" s="17"/>
      <c r="D48" s="17"/>
      <c r="E48" s="17"/>
      <c r="J48" s="2"/>
      <c r="K48" s="2"/>
    </row>
    <row r="49" spans="2:15">
      <c r="B49" s="16">
        <v>0</v>
      </c>
      <c r="C49" s="17"/>
      <c r="D49" s="17"/>
      <c r="E49" s="17"/>
      <c r="I49" s="2"/>
      <c r="J49" s="2"/>
      <c r="K49" s="2"/>
    </row>
    <row r="50" spans="2:15">
      <c r="B50" s="16">
        <v>0</v>
      </c>
      <c r="C50" s="17"/>
      <c r="D50" s="17"/>
      <c r="E50" s="17"/>
      <c r="I50" s="2" t="s">
        <v>20</v>
      </c>
    </row>
    <row r="51" spans="2:15" ht="21">
      <c r="B51" s="16">
        <v>0</v>
      </c>
      <c r="C51" s="17"/>
      <c r="D51" s="17"/>
      <c r="E51" s="17"/>
      <c r="I51" s="46"/>
      <c r="J51" s="47"/>
      <c r="K51" s="47"/>
      <c r="L51" s="47"/>
      <c r="M51" s="47"/>
      <c r="N51" s="24"/>
      <c r="O51" s="24"/>
    </row>
    <row r="52" spans="2:15" ht="15.6">
      <c r="B52" s="16">
        <v>0</v>
      </c>
      <c r="C52" s="17"/>
      <c r="D52" s="17"/>
      <c r="E52" s="17"/>
      <c r="I52" s="48"/>
      <c r="J52" s="48"/>
      <c r="K52" s="48"/>
      <c r="L52" s="48"/>
      <c r="M52" s="48"/>
      <c r="N52" s="25"/>
      <c r="O52" s="25"/>
    </row>
    <row r="53" spans="2:15">
      <c r="B53" s="16">
        <v>0</v>
      </c>
      <c r="C53" s="17"/>
      <c r="D53" s="17"/>
      <c r="E53" s="17"/>
    </row>
    <row r="54" spans="2:15">
      <c r="B54" s="16">
        <v>0</v>
      </c>
      <c r="C54" s="17"/>
      <c r="D54" s="17"/>
      <c r="E54" s="17"/>
    </row>
    <row r="55" spans="2:15">
      <c r="B55" s="16">
        <v>0</v>
      </c>
      <c r="C55" s="17"/>
      <c r="D55" s="17"/>
      <c r="E55" s="17"/>
    </row>
    <row r="56" spans="2:15">
      <c r="B56" s="16">
        <v>0</v>
      </c>
      <c r="C56" s="17"/>
      <c r="D56" s="17"/>
      <c r="E56" s="17"/>
    </row>
    <row r="57" spans="2:15">
      <c r="B57" s="16">
        <v>0</v>
      </c>
      <c r="C57" s="17"/>
      <c r="D57" s="17"/>
      <c r="E57" s="17"/>
    </row>
    <row r="58" spans="2:15">
      <c r="B58" s="16">
        <v>0</v>
      </c>
      <c r="C58" s="17"/>
      <c r="D58" s="17"/>
      <c r="E58" s="17"/>
    </row>
    <row r="59" spans="2:15">
      <c r="B59" s="16">
        <v>0</v>
      </c>
      <c r="C59" s="17"/>
      <c r="D59" s="17"/>
      <c r="E59" s="17"/>
    </row>
    <row r="60" spans="2:15">
      <c r="B60" s="16">
        <v>0</v>
      </c>
      <c r="C60" s="17"/>
      <c r="D60" s="17"/>
      <c r="E60" s="17"/>
    </row>
    <row r="61" spans="2:15">
      <c r="B61" s="16">
        <v>0</v>
      </c>
      <c r="C61" s="17"/>
      <c r="D61" s="17"/>
      <c r="E61" s="17"/>
    </row>
    <row r="62" spans="2:15">
      <c r="B62" s="16">
        <v>0</v>
      </c>
      <c r="C62" s="17"/>
      <c r="D62" s="17"/>
      <c r="E62" s="17"/>
    </row>
    <row r="63" spans="2:15">
      <c r="B63" s="16">
        <v>0</v>
      </c>
      <c r="C63" s="17"/>
      <c r="D63" s="17"/>
      <c r="E63" s="17"/>
    </row>
    <row r="64" spans="2:15">
      <c r="B64" s="16">
        <v>0</v>
      </c>
      <c r="C64" s="17"/>
      <c r="D64" s="17"/>
      <c r="E64" s="17"/>
    </row>
    <row r="65" spans="2:5">
      <c r="B65" s="16">
        <v>0</v>
      </c>
      <c r="C65" s="17"/>
      <c r="D65" s="17"/>
      <c r="E65" s="17"/>
    </row>
    <row r="66" spans="2:5">
      <c r="B66" s="16">
        <v>0</v>
      </c>
      <c r="C66" s="17"/>
      <c r="D66" s="17"/>
      <c r="E66" s="17"/>
    </row>
    <row r="67" spans="2:5">
      <c r="B67" s="16">
        <v>0</v>
      </c>
      <c r="C67" s="17"/>
      <c r="D67" s="17"/>
      <c r="E67" s="17"/>
    </row>
    <row r="68" spans="2:5">
      <c r="B68" s="16">
        <v>0</v>
      </c>
      <c r="C68" s="17"/>
      <c r="D68" s="17"/>
      <c r="E68" s="17"/>
    </row>
    <row r="69" spans="2:5">
      <c r="B69" s="16">
        <v>0</v>
      </c>
      <c r="C69" s="17"/>
      <c r="D69" s="17"/>
      <c r="E69" s="17"/>
    </row>
    <row r="70" spans="2:5">
      <c r="B70" s="16">
        <v>0</v>
      </c>
      <c r="C70" s="18"/>
      <c r="D70" s="18"/>
      <c r="E70" s="18"/>
    </row>
    <row r="71" spans="2:5">
      <c r="B71" s="18" t="s">
        <v>21</v>
      </c>
      <c r="C71" s="17"/>
      <c r="D71" s="17"/>
      <c r="E71" s="17"/>
    </row>
    <row r="72" spans="2:5">
      <c r="B72" s="16"/>
      <c r="C72" s="17"/>
      <c r="D72" s="17"/>
      <c r="E72" s="17"/>
    </row>
    <row r="73" spans="2:5">
      <c r="B73" s="16"/>
      <c r="C73" s="17"/>
      <c r="D73" s="17"/>
      <c r="E73" s="17"/>
    </row>
    <row r="74" spans="2:5">
      <c r="B74" s="16"/>
      <c r="C74" s="17"/>
      <c r="D74" s="17"/>
      <c r="E74" s="17"/>
    </row>
    <row r="75" spans="2:5">
      <c r="B75" s="16"/>
      <c r="C75" s="17"/>
      <c r="D75" s="17"/>
      <c r="E75" s="17"/>
    </row>
    <row r="76" spans="2:5">
      <c r="B76" s="16"/>
      <c r="C76" s="17"/>
      <c r="D76" s="17"/>
      <c r="E76" s="17"/>
    </row>
    <row r="77" spans="2:5">
      <c r="B77" s="16"/>
      <c r="C77" s="17"/>
      <c r="D77" s="17"/>
      <c r="E77" s="17"/>
    </row>
    <row r="78" spans="2:5">
      <c r="B78" s="16"/>
      <c r="C78" s="17"/>
      <c r="D78" s="17"/>
      <c r="E78" s="17"/>
    </row>
    <row r="79" spans="2:5">
      <c r="B79" s="16"/>
      <c r="C79" s="17"/>
      <c r="D79" s="17"/>
      <c r="E79" s="17"/>
    </row>
    <row r="80" spans="2:5">
      <c r="B80" s="16"/>
      <c r="C80" s="17"/>
      <c r="D80" s="17"/>
      <c r="E80" s="17"/>
    </row>
    <row r="81" spans="2:5">
      <c r="B81" s="16"/>
      <c r="C81" s="17"/>
      <c r="D81" s="17"/>
      <c r="E81" s="17"/>
    </row>
    <row r="82" spans="2:5">
      <c r="B82" s="16"/>
      <c r="C82" s="17"/>
      <c r="D82" s="17"/>
      <c r="E82" s="17"/>
    </row>
    <row r="83" spans="2:5">
      <c r="B83" s="16"/>
      <c r="C83" s="17"/>
      <c r="D83" s="17"/>
      <c r="E83" s="17"/>
    </row>
    <row r="84" spans="2:5">
      <c r="B84" s="16">
        <v>0</v>
      </c>
      <c r="C84" s="17"/>
      <c r="D84" s="17"/>
      <c r="E84" s="17"/>
    </row>
    <row r="85" spans="2:5">
      <c r="B85" s="16">
        <v>0</v>
      </c>
      <c r="C85" s="17"/>
      <c r="D85" s="17"/>
      <c r="E85" s="17"/>
    </row>
    <row r="86" spans="2:5">
      <c r="B86" s="16">
        <v>0</v>
      </c>
      <c r="C86" s="17"/>
      <c r="D86" s="17"/>
      <c r="E86" s="17"/>
    </row>
    <row r="87" spans="2:5">
      <c r="B87" s="16">
        <v>0</v>
      </c>
    </row>
  </sheetData>
  <mergeCells count="7">
    <mergeCell ref="I51:M51"/>
    <mergeCell ref="I52:M52"/>
    <mergeCell ref="A2:R2"/>
    <mergeCell ref="A3:R3"/>
    <mergeCell ref="B4:Q4"/>
    <mergeCell ref="A5:R5"/>
    <mergeCell ref="I8:L8"/>
  </mergeCells>
  <dataValidations count="4">
    <dataValidation allowBlank="1" showInputMessage="1" prompt="QUARTERLY GRADE (TRANSMUTED GRADE)" sqref="C21:C30 D9:D32 G32:H43 N10:N30 N32:N43 G26:H30 C33:D43 I26:L43 G10:L25" xr:uid="{00000000-0002-0000-0000-000000000000}"/>
    <dataValidation allowBlank="1" showInputMessage="1" prompt="Do not type name of learners here. Go to INPUT DATA sheet." sqref="B48:B70 B72:B87 B10:B41" xr:uid="{00000000-0002-0000-0000-000002000000}"/>
    <dataValidation allowBlank="1" sqref="C31:C32 E10:E43 C47:E69 F10:F28 F30:F43" xr:uid="{00000000-0002-0000-0000-000003000000}"/>
    <dataValidation allowBlank="1" showErrorMessage="1" sqref="C70:E70 B71" xr:uid="{00000000-0002-0000-0000-000001000000}"/>
  </dataValidations>
  <pageMargins left="0.196850393700787" right="0.196850393700787" top="0.196850393700787" bottom="0.196850393700787" header="0.31496062992126" footer="0.31496062992126"/>
  <pageSetup paperSize="5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</dc:creator>
  <cp:lastModifiedBy>Princes Erediano</cp:lastModifiedBy>
  <cp:lastPrinted>2024-01-30T10:11:00Z</cp:lastPrinted>
  <dcterms:created xsi:type="dcterms:W3CDTF">2016-09-05T03:00:00Z</dcterms:created>
  <dcterms:modified xsi:type="dcterms:W3CDTF">2025-01-18T08:48:47Z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EF111C49DFC0448295BCACE4291E7029_13</vt:lpwstr>
  </property>
  <property fmtid="{D5CDD505-2E9C-101B-9397-08002B2CF9AE}" pid="3" name="KSOProductBuildVer">
    <vt:lpwstr>1033-12.2.0.16909</vt:lpwstr>
  </property>
  <property fmtid="{D5CDD505-2E9C-101B-9397-08002B2CF9AE}" pid="4" name="KSOReadingLayout">
    <vt:bool>true</vt:bool>
  </property>
</Properties>
</file>